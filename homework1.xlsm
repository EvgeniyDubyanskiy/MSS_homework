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arsp\Desktop\"/>
    </mc:Choice>
  </mc:AlternateContent>
  <bookViews>
    <workbookView xWindow="0" yWindow="0" windowWidth="28800" windowHeight="11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AI15" i="1" l="1"/>
  <c r="AA15" i="1"/>
  <c r="AB15" i="1"/>
  <c r="AC15" i="1"/>
  <c r="AD15" i="1"/>
  <c r="AE15" i="1"/>
  <c r="AF15" i="1"/>
  <c r="AG15" i="1"/>
  <c r="AH15" i="1"/>
  <c r="AA12" i="1"/>
  <c r="AB12" i="1"/>
  <c r="AC12" i="1" s="1"/>
  <c r="AD12" i="1" s="1"/>
  <c r="AE12" i="1" s="1"/>
  <c r="AF12" i="1" s="1"/>
  <c r="AG12" i="1" s="1"/>
  <c r="AH12" i="1" s="1"/>
  <c r="AI12" i="1" s="1"/>
  <c r="AJ12" i="1" s="1"/>
  <c r="Z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C4" i="1" l="1"/>
  <c r="F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G12" i="1"/>
  <c r="C3" i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<sst xmlns="http://schemas.openxmlformats.org/spreadsheetml/2006/main" count="13" uniqueCount="12">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</sst>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287.51358869097902</c:v>
                </c:pt>
                <c:pt idx="2">
                  <c:v>275.02717738195804</c:v>
                </c:pt>
                <c:pt idx="3">
                  <c:v>262.7988284329391</c:v>
                </c:pt>
                <c:pt idx="4">
                  <c:v>250.57047948392017</c:v>
                </c:pt>
                <c:pt idx="5">
                  <c:v>238.84633327570265</c:v>
                </c:pt>
                <c:pt idx="6">
                  <c:v>227.12218706748507</c:v>
                </c:pt>
                <c:pt idx="7">
                  <c:v>216.12517295193848</c:v>
                </c:pt>
                <c:pt idx="8">
                  <c:v>205.12815883639189</c:v>
                </c:pt>
                <c:pt idx="9">
                  <c:v>195.04792469785139</c:v>
                </c:pt>
                <c:pt idx="10">
                  <c:v>184.96769055931088</c:v>
                </c:pt>
                <c:pt idx="11">
                  <c:v>175.95224771642688</c:v>
                </c:pt>
                <c:pt idx="12">
                  <c:v>166.93680487354291</c:v>
                </c:pt>
                <c:pt idx="13">
                  <c:v>159.08626460201555</c:v>
                </c:pt>
                <c:pt idx="14">
                  <c:v>151.23572433048821</c:v>
                </c:pt>
                <c:pt idx="15">
                  <c:v>144.59836361834658</c:v>
                </c:pt>
                <c:pt idx="16">
                  <c:v>137.96100290620495</c:v>
                </c:pt>
                <c:pt idx="17">
                  <c:v>132.53175448776179</c:v>
                </c:pt>
                <c:pt idx="18">
                  <c:v>127.10250606931865</c:v>
                </c:pt>
                <c:pt idx="19">
                  <c:v>122.82383460138519</c:v>
                </c:pt>
                <c:pt idx="20">
                  <c:v>118.54516313345178</c:v>
                </c:pt>
                <c:pt idx="21">
                  <c:v>115.31017601502325</c:v>
                </c:pt>
                <c:pt idx="22">
                  <c:v>112.07518889659477</c:v>
                </c:pt>
                <c:pt idx="23">
                  <c:v>109.73274306633451</c:v>
                </c:pt>
                <c:pt idx="24">
                  <c:v>107.3902972360743</c:v>
                </c:pt>
                <c:pt idx="25">
                  <c:v>105.75180415643348</c:v>
                </c:pt>
                <c:pt idx="26">
                  <c:v>104.1133110767927</c:v>
                </c:pt>
                <c:pt idx="27">
                  <c:v>102.96090866158893</c:v>
                </c:pt>
                <c:pt idx="28">
                  <c:v>101.80850624638518</c:v>
                </c:pt>
                <c:pt idx="29">
                  <c:v>100.90425312319259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F-49E8-A8CC-1C38E99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544286</xdr:colOff>
      <xdr:row>39</xdr:row>
      <xdr:rowOff>136071</xdr:rowOff>
    </xdr:from>
    <xdr:to>
      <xdr:col>18</xdr:col>
      <xdr:colOff>231321</xdr:colOff>
      <xdr:row>41</xdr:row>
      <xdr:rowOff>13606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/>
            <xdr:cNvSpPr txBox="1"/>
          </xdr:nvSpPr>
          <xdr:spPr>
            <a:xfrm>
              <a:off x="13307786" y="7565571"/>
              <a:ext cx="530678" cy="25853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6" name="TextBox 1"/>
            <xdr:cNvSpPr txBox="1"/>
          </xdr:nvSpPr>
          <xdr:spPr>
            <a:xfrm>
              <a:off x="13307786" y="7565571"/>
              <a:ext cx="530678" cy="25853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0.01163</cdr:y>
    </cdr:from>
    <cdr:to>
      <cdr:x>0.09155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50812"/>
              <a:ext cx="715577" cy="55718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50812"/>
              <a:ext cx="715577" cy="55718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K19"/>
  <sheetViews>
    <sheetView tabSelected="1" zoomScale="70" zoomScaleNormal="70" workbookViewId="0">
      <selection activeCell="AG7" sqref="AG7"/>
    </sheetView>
  </sheetViews>
  <sheetFormatPr defaultRowHeight="15" x14ac:dyDescent="0.25"/>
  <cols>
    <col min="3" max="3" width="9.5703125" bestFit="1" customWidth="1"/>
    <col min="6" max="36" width="6.85546875" bestFit="1" customWidth="1"/>
  </cols>
  <sheetData>
    <row r="2" spans="1:37" x14ac:dyDescent="0.25">
      <c r="B2" s="1" t="s">
        <v>0</v>
      </c>
      <c r="C2" s="1">
        <v>0.1</v>
      </c>
    </row>
    <row r="3" spans="1:37" x14ac:dyDescent="0.25">
      <c r="B3" s="1" t="s">
        <v>1</v>
      </c>
      <c r="C3" s="4">
        <f>C2/30</f>
        <v>3.3333333333333335E-3</v>
      </c>
    </row>
    <row r="4" spans="1:37" x14ac:dyDescent="0.25">
      <c r="B4" s="1" t="s">
        <v>2</v>
      </c>
      <c r="C4" s="4">
        <f>(C8*C7*C3^2)/(2*C9)</f>
        <v>0.4333333333333334</v>
      </c>
    </row>
    <row r="5" spans="1:37" x14ac:dyDescent="0.25">
      <c r="B5" s="1" t="s">
        <v>3</v>
      </c>
      <c r="C5" s="1">
        <v>120</v>
      </c>
      <c r="D5">
        <v>120.03333333333336</v>
      </c>
    </row>
    <row r="6" spans="1:37" x14ac:dyDescent="0.25">
      <c r="A6" s="5"/>
      <c r="B6" s="5"/>
      <c r="C6" s="5"/>
    </row>
    <row r="7" spans="1:37" x14ac:dyDescent="0.25">
      <c r="B7" s="1" t="s">
        <v>4</v>
      </c>
      <c r="C7" s="1">
        <v>460</v>
      </c>
    </row>
    <row r="8" spans="1:37" x14ac:dyDescent="0.25">
      <c r="B8" s="1" t="s">
        <v>5</v>
      </c>
      <c r="C8" s="1">
        <v>7800</v>
      </c>
    </row>
    <row r="9" spans="1:37" x14ac:dyDescent="0.25">
      <c r="B9" s="1" t="s">
        <v>6</v>
      </c>
      <c r="C9" s="1">
        <v>46</v>
      </c>
    </row>
    <row r="10" spans="1:37" x14ac:dyDescent="0.25">
      <c r="A10" s="5"/>
      <c r="B10" s="5"/>
      <c r="C10" s="5"/>
      <c r="D10" s="5"/>
    </row>
    <row r="11" spans="1:37" x14ac:dyDescent="0.25">
      <c r="B11" s="1" t="s">
        <v>8</v>
      </c>
      <c r="C11" s="1">
        <v>300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25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Z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ref="AA12" si="1">Z12+$C$3</f>
        <v>6.9999999999999993E-2</v>
      </c>
      <c r="AB12" s="2">
        <f t="shared" ref="AB12" si="2">AA12+$C$3</f>
        <v>7.333333333333332E-2</v>
      </c>
      <c r="AC12" s="2">
        <f t="shared" ref="AC12" si="3">AB12+$C$3</f>
        <v>7.6666666666666647E-2</v>
      </c>
      <c r="AD12" s="2">
        <f t="shared" ref="AD12" si="4">AC12+$C$3</f>
        <v>7.9999999999999974E-2</v>
      </c>
      <c r="AE12" s="2">
        <f t="shared" ref="AE12" si="5">AD12+$C$3</f>
        <v>8.3333333333333301E-2</v>
      </c>
      <c r="AF12" s="2">
        <f t="shared" ref="AF12" si="6">AE12+$C$3</f>
        <v>8.6666666666666628E-2</v>
      </c>
      <c r="AG12" s="2">
        <f t="shared" ref="AG12" si="7">AF12+$C$3</f>
        <v>8.9999999999999955E-2</v>
      </c>
      <c r="AH12" s="2">
        <f t="shared" ref="AH12" si="8">AG12+$C$3</f>
        <v>9.3333333333333282E-2</v>
      </c>
      <c r="AI12" s="2">
        <f t="shared" ref="AI12" si="9">AH12+$C$3</f>
        <v>9.6666666666666609E-2</v>
      </c>
      <c r="AJ12" s="2">
        <f t="shared" ref="AJ12" si="10">AI12+$C$3</f>
        <v>9.9999999999999936E-2</v>
      </c>
      <c r="AK12" s="2"/>
    </row>
    <row r="13" spans="1:37" x14ac:dyDescent="0.25">
      <c r="E13" t="s">
        <v>7</v>
      </c>
      <c r="F13" s="3">
        <f>C11</f>
        <v>300</v>
      </c>
      <c r="G13" s="6">
        <v>287.51358869097902</v>
      </c>
      <c r="H13" s="6">
        <v>275.02717738195804</v>
      </c>
      <c r="I13" s="6">
        <v>262.7988284329391</v>
      </c>
      <c r="J13" s="6">
        <v>250.57047948392017</v>
      </c>
      <c r="K13" s="6">
        <v>238.84633327570265</v>
      </c>
      <c r="L13" s="6">
        <v>227.12218706748507</v>
      </c>
      <c r="M13" s="6">
        <v>216.12517295193848</v>
      </c>
      <c r="N13" s="6">
        <v>205.12815883639189</v>
      </c>
      <c r="O13" s="6">
        <v>195.04792469785139</v>
      </c>
      <c r="P13" s="6">
        <v>184.96769055931088</v>
      </c>
      <c r="Q13" s="6">
        <v>175.95224771642688</v>
      </c>
      <c r="R13" s="6">
        <v>166.93680487354291</v>
      </c>
      <c r="S13" s="6">
        <v>159.08626460201555</v>
      </c>
      <c r="T13" s="6">
        <v>151.23572433048821</v>
      </c>
      <c r="U13" s="6">
        <v>144.59836361834658</v>
      </c>
      <c r="V13" s="6">
        <v>137.96100290620495</v>
      </c>
      <c r="W13" s="6">
        <v>132.53175448776179</v>
      </c>
      <c r="X13" s="6">
        <v>127.10250606931865</v>
      </c>
      <c r="Y13" s="6">
        <v>122.82383460138519</v>
      </c>
      <c r="Z13" s="6">
        <v>118.54516313345178</v>
      </c>
      <c r="AA13" s="6">
        <v>115.31017601502325</v>
      </c>
      <c r="AB13" s="6">
        <v>112.07518889659477</v>
      </c>
      <c r="AC13" s="6">
        <v>109.73274306633451</v>
      </c>
      <c r="AD13" s="6">
        <v>107.3902972360743</v>
      </c>
      <c r="AE13" s="6">
        <v>105.75180415643348</v>
      </c>
      <c r="AF13" s="6">
        <v>104.1133110767927</v>
      </c>
      <c r="AG13" s="6">
        <v>102.96090866158893</v>
      </c>
      <c r="AH13" s="6">
        <v>101.80850624638518</v>
      </c>
      <c r="AI13" s="6">
        <v>100.90425312319259</v>
      </c>
      <c r="AJ13" s="6">
        <v>100</v>
      </c>
    </row>
    <row r="15" spans="1:37" x14ac:dyDescent="0.25">
      <c r="E15" t="s">
        <v>10</v>
      </c>
      <c r="G15" s="7">
        <f>G13+(($C$9*$C$4)/($C$8*$C$7))*((H13-2*G13+F13)/($C$3^2))</f>
        <v>287.51358869097902</v>
      </c>
      <c r="H15" s="7">
        <f t="shared" ref="H15:Z15" si="11">H13+(($C$9*$C$4)/($C$8*$C$7))*((I13-2*H13+G13)/($C$3^2))</f>
        <v>275.15620856195903</v>
      </c>
      <c r="I15" s="7">
        <f t="shared" si="11"/>
        <v>262.7988284329391</v>
      </c>
      <c r="J15" s="7">
        <f t="shared" si="11"/>
        <v>250.82258085432088</v>
      </c>
      <c r="K15" s="7">
        <f t="shared" si="11"/>
        <v>238.84633327570262</v>
      </c>
      <c r="L15" s="7">
        <f t="shared" si="11"/>
        <v>227.48575311382058</v>
      </c>
      <c r="M15" s="7">
        <f t="shared" si="11"/>
        <v>216.12517295193848</v>
      </c>
      <c r="N15" s="7">
        <f t="shared" si="11"/>
        <v>205.58654882489492</v>
      </c>
      <c r="O15" s="7">
        <f t="shared" si="11"/>
        <v>195.04792469785139</v>
      </c>
      <c r="P15" s="7">
        <f t="shared" si="11"/>
        <v>185.50008620713913</v>
      </c>
      <c r="Q15" s="7">
        <f t="shared" si="11"/>
        <v>175.95224771642688</v>
      </c>
      <c r="R15" s="7">
        <f t="shared" si="11"/>
        <v>167.51925615922121</v>
      </c>
      <c r="S15" s="7">
        <f t="shared" si="11"/>
        <v>159.08626460201555</v>
      </c>
      <c r="T15" s="7">
        <f t="shared" si="11"/>
        <v>151.84231411018106</v>
      </c>
      <c r="U15" s="7">
        <f t="shared" si="11"/>
        <v>144.59836361834658</v>
      </c>
      <c r="V15" s="7">
        <f t="shared" si="11"/>
        <v>138.5650590530542</v>
      </c>
      <c r="W15" s="7">
        <f t="shared" si="11"/>
        <v>132.53175448776182</v>
      </c>
      <c r="X15" s="7">
        <f t="shared" si="11"/>
        <v>127.67779454457349</v>
      </c>
      <c r="Y15" s="7">
        <f t="shared" si="11"/>
        <v>122.82383460138522</v>
      </c>
      <c r="Z15" s="7">
        <f t="shared" si="11"/>
        <v>119.06700530820422</v>
      </c>
      <c r="AA15" s="7">
        <f t="shared" ref="AA15" si="12">AA13+(($C$9*$C$4)/($C$8*$C$7))*((AB13-2*AA13+Z13)/($C$3^2))</f>
        <v>115.31017601502327</v>
      </c>
      <c r="AB15" s="7">
        <f t="shared" ref="AB15" si="13">AB13+(($C$9*$C$4)/($C$8*$C$7))*((AC13-2*AB13+AA13)/($C$3^2))</f>
        <v>112.52145954067888</v>
      </c>
      <c r="AC15" s="7">
        <f t="shared" ref="AC15" si="14">AC13+(($C$9*$C$4)/($C$8*$C$7))*((AD13-2*AC13+AB13)/($C$3^2))</f>
        <v>109.73274306633454</v>
      </c>
      <c r="AD15" s="7">
        <f t="shared" ref="AD15" si="15">AD13+(($C$9*$C$4)/($C$8*$C$7))*((AE13-2*AD13+AC13)/($C$3^2))</f>
        <v>107.74227361138399</v>
      </c>
      <c r="AE15" s="7">
        <f t="shared" ref="AE15" si="16">AE13+(($C$9*$C$4)/($C$8*$C$7))*((AF13-2*AE13+AD13)/($C$3^2))</f>
        <v>105.75180415643351</v>
      </c>
      <c r="AF15" s="7">
        <f t="shared" ref="AF15" si="17">AF13+(($C$9*$C$4)/($C$8*$C$7))*((AG13-2*AF13+AE13)/($C$3^2))</f>
        <v>104.3563564090112</v>
      </c>
      <c r="AG15" s="7">
        <f t="shared" ref="AG15" si="18">AG13+(($C$9*$C$4)/($C$8*$C$7))*((AH13-2*AG13+AF13)/($C$3^2))</f>
        <v>102.96090866158895</v>
      </c>
      <c r="AH15" s="7">
        <f t="shared" ref="AH15:AI15" si="19">AH13+(($C$9*$C$4)/($C$8*$C$7))*((AI13-2*AH13+AG13)/($C$3^2))</f>
        <v>101.93258089239076</v>
      </c>
      <c r="AI15" s="7">
        <f t="shared" si="19"/>
        <v>100.90425312319259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Евгений Дубянский</cp:lastModifiedBy>
  <dcterms:created xsi:type="dcterms:W3CDTF">2021-09-14T21:31:27Z</dcterms:created>
  <dcterms:modified xsi:type="dcterms:W3CDTF">2021-09-15T10:46:11Z</dcterms:modified>
</cp:coreProperties>
</file>